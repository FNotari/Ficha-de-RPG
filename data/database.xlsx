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Rpg\database\"/>
    </mc:Choice>
  </mc:AlternateContent>
  <xr:revisionPtr revIDLastSave="0" documentId="13_ncr:1_{EEC386D5-8F3E-423E-B3BA-80EFE6A700DC}" xr6:coauthVersionLast="47" xr6:coauthVersionMax="47" xr10:uidLastSave="{00000000-0000-0000-0000-000000000000}"/>
  <bookViews>
    <workbookView xWindow="20370" yWindow="-120" windowWidth="20730" windowHeight="11160" tabRatio="564" firstSheet="3" activeTab="8" xr2:uid="{00000000-000D-0000-FFFF-FFFF00000000}"/>
  </bookViews>
  <sheets>
    <sheet name="Propriedades de Armaduras" sheetId="11" r:id="rId1"/>
    <sheet name="Propriedades de Armas" sheetId="10" r:id="rId2"/>
    <sheet name="Classes" sheetId="1" r:id="rId3"/>
    <sheet name="SubClasses" sheetId="12" r:id="rId4"/>
    <sheet name="Perícias" sheetId="7" r:id="rId5"/>
    <sheet name="Idiomas" sheetId="9" r:id="rId6"/>
    <sheet name="Atributos" sheetId="8" r:id="rId7"/>
    <sheet name="Raça_Habilidade" sheetId="21" r:id="rId8"/>
    <sheet name="Raças" sheetId="2" r:id="rId9"/>
    <sheet name="Sub-Raças" sheetId="13" r:id="rId10"/>
    <sheet name="Magias" sheetId="3" r:id="rId11"/>
    <sheet name="Talentos" sheetId="4" r:id="rId12"/>
    <sheet name="Equipamentos" sheetId="5" r:id="rId13"/>
    <sheet name="Armas" sheetId="16" r:id="rId14"/>
    <sheet name="Armaduras" sheetId="17" r:id="rId15"/>
    <sheet name="Ferramentas" sheetId="15" r:id="rId16"/>
    <sheet name="ProficienciaClasse" sheetId="6" r:id="rId17"/>
    <sheet name="Habilidades" sheetId="18" r:id="rId18"/>
    <sheet name="Classe_Habilidade" sheetId="19" r:id="rId19"/>
    <sheet name="SubClasse_Habilidade" sheetId="20" r:id="rId20"/>
    <sheet name="Tamanhos" sheetId="22" r:id="rId21"/>
    <sheet name="EscolasMagia" sheetId="23" r:id="rId22"/>
    <sheet name="TipoDanos" sheetId="24" r:id="rId23"/>
    <sheet name="Arma_Propriedade" sheetId="2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4" l="1"/>
  <c r="A2" i="23"/>
  <c r="A2" i="22"/>
  <c r="A2" i="18"/>
  <c r="A2" i="17"/>
  <c r="A2" i="16"/>
  <c r="A2" i="15"/>
  <c r="A2" i="13"/>
  <c r="A2" i="12"/>
  <c r="A2" i="11"/>
  <c r="A2" i="10"/>
  <c r="A2" i="9"/>
  <c r="A7" i="8"/>
  <c r="A6" i="8"/>
  <c r="A5" i="8"/>
  <c r="A4" i="8"/>
  <c r="A3" i="8"/>
  <c r="A2" i="8"/>
  <c r="A2" i="7"/>
  <c r="A2" i="5"/>
  <c r="A2" i="4"/>
  <c r="A2" i="3"/>
  <c r="A2" i="2"/>
  <c r="A4" i="1"/>
  <c r="A3" i="1"/>
  <c r="A2" i="1"/>
</calcChain>
</file>

<file path=xl/sharedStrings.xml><?xml version="1.0" encoding="utf-8"?>
<sst xmlns="http://schemas.openxmlformats.org/spreadsheetml/2006/main" count="123" uniqueCount="58">
  <si>
    <t>ID</t>
  </si>
  <si>
    <t>Nome</t>
  </si>
  <si>
    <t>DadoVida</t>
  </si>
  <si>
    <t>Conjurador</t>
  </si>
  <si>
    <t>EscolhaPericias</t>
  </si>
  <si>
    <t>Guerreiro</t>
  </si>
  <si>
    <t>Não</t>
  </si>
  <si>
    <t>Força</t>
  </si>
  <si>
    <t>Constituição</t>
  </si>
  <si>
    <t>Mago</t>
  </si>
  <si>
    <t>Sim</t>
  </si>
  <si>
    <t>Inteligência</t>
  </si>
  <si>
    <t>Sabedoria</t>
  </si>
  <si>
    <t>Deslocamento</t>
  </si>
  <si>
    <t>Nível</t>
  </si>
  <si>
    <t>Alcance</t>
  </si>
  <si>
    <t>Duração</t>
  </si>
  <si>
    <t>Componente</t>
  </si>
  <si>
    <t>Ritual</t>
  </si>
  <si>
    <t>Concentração</t>
  </si>
  <si>
    <t>Descrição</t>
  </si>
  <si>
    <t>PréRequisito</t>
  </si>
  <si>
    <t>Tipo</t>
  </si>
  <si>
    <t>Peso</t>
  </si>
  <si>
    <t>Valor</t>
  </si>
  <si>
    <t>ClasseID</t>
  </si>
  <si>
    <t>AtributoID</t>
  </si>
  <si>
    <t>Abreviação</t>
  </si>
  <si>
    <t>FOR</t>
  </si>
  <si>
    <t>Destreza</t>
  </si>
  <si>
    <t>DES</t>
  </si>
  <si>
    <t>Constituiçção</t>
  </si>
  <si>
    <t>COM</t>
  </si>
  <si>
    <t>INT</t>
  </si>
  <si>
    <t>SAB</t>
  </si>
  <si>
    <t>Carisma</t>
  </si>
  <si>
    <t>CAR</t>
  </si>
  <si>
    <t>Resistencia1ID</t>
  </si>
  <si>
    <t>Resistencia2ID</t>
  </si>
  <si>
    <t>HabilidadeMagiaID</t>
  </si>
  <si>
    <t>NívelDesbloqueio</t>
  </si>
  <si>
    <t>TamanhoID</t>
  </si>
  <si>
    <t>RacaID</t>
  </si>
  <si>
    <t>Categoria</t>
  </si>
  <si>
    <t>Dano</t>
  </si>
  <si>
    <t>TipoDanoID</t>
  </si>
  <si>
    <t>CA</t>
  </si>
  <si>
    <t>DESMax</t>
  </si>
  <si>
    <t>ForçaMínima</t>
  </si>
  <si>
    <t>Furtividade</t>
  </si>
  <si>
    <t>EscolaID</t>
  </si>
  <si>
    <t>TempoConjuração</t>
  </si>
  <si>
    <t>ItemID</t>
  </si>
  <si>
    <t>TipoEquipamentoID</t>
  </si>
  <si>
    <t>HabilidadeID</t>
  </si>
  <si>
    <t>SubClasseID</t>
  </si>
  <si>
    <t>ArmaID</t>
  </si>
  <si>
    <t>PropriedadeID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</si>
</sst>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88486C-D99A-4B9E-907C-CD6990193EFE}" name="TabPropArmaduras" displayName="TabPropArmaduras" ref="A1:C2" totalsRowShown="0">
  <autoFilter ref="A1:C2" xr:uid="{A146A2C9-5DE2-4560-9B3D-D67AA2C64F0D}"/>
  <tableColumns count="3">
    <tableColumn id="1" xr3:uid="{7C41395A-4695-4E3B-A9B9-0C3686500BFA}" name="ID">
      <calculatedColumnFormula>ROW(A1)</calculatedColumnFormula>
    </tableColumn>
    <tableColumn id="2" xr3:uid="{25614597-8374-450F-B3FF-13D6C03ADCCA}" name="Nome"/>
    <tableColumn id="3" xr3:uid="{CE30C341-B8E8-4C8B-AA0A-6A2437FB325D}" name="Descri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46A2C9-5DE2-4560-9B3D-D67AA2C64F0D}" name="TabPropArmas" displayName="TabPropArmas" ref="A1:C2" totalsRowShown="0">
  <autoFilter ref="A1:C2" xr:uid="{A146A2C9-5DE2-4560-9B3D-D67AA2C64F0D}"/>
  <tableColumns count="3">
    <tableColumn id="1" xr3:uid="{A74B43E3-7B3B-44F0-B31F-B98C1602BF11}" name="ID">
      <calculatedColumnFormula>ROW(A1)</calculatedColumnFormula>
    </tableColumn>
    <tableColumn id="2" xr3:uid="{113DE355-2926-4D14-A0F9-E0708A7ED177}" name="Nome"/>
    <tableColumn id="3" xr3:uid="{1EE20767-E5DF-4506-96BA-38765BF7679F}" name="Descri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5BC0D-AEFA-4789-82F7-1332ADFAB70A}" name="TabClasses" displayName="TabClasses" ref="A1:H4" totalsRowShown="0">
  <autoFilter ref="A1:H4" xr:uid="{BAF5BC0D-AEFA-4789-82F7-1332ADFAB70A}"/>
  <tableColumns count="8">
    <tableColumn id="1" xr3:uid="{7AB4CB0E-FD66-4985-AC60-D6B125CB3357}" name="ID">
      <calculatedColumnFormula>ROW(A1)</calculatedColumnFormula>
    </tableColumn>
    <tableColumn id="2" xr3:uid="{B5B4C7D3-317B-4FA9-82F6-3C353026F7CE}" name="Nome"/>
    <tableColumn id="3" xr3:uid="{2D472A49-4A0E-44BC-A261-6D7F3883ECE5}" name="DadoVida"/>
    <tableColumn id="4" xr3:uid="{C7885B6D-9403-451C-BC99-BCBFD8DD6BFC}" name="Conjurador"/>
    <tableColumn id="5" xr3:uid="{BDD320F8-817A-4267-A814-6C22C6694F07}" name="HabilidadeMagiaID"/>
    <tableColumn id="6" xr3:uid="{1C06E21E-64A7-43F0-94B6-F4A2C1AE593A}" name="Resistencia1ID"/>
    <tableColumn id="7" xr3:uid="{01020C2A-21BC-4ACE-9635-5F5732FC5FB6}" name="Resistencia2ID"/>
    <tableColumn id="8" xr3:uid="{EEB962A2-8163-4A25-87C3-5C3103A167CE}" name="EscolhaPerici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B18FF43-8452-4C2E-B678-11996F430BB4}" name="TabSubClasse" displayName="TabSubClasse" ref="A1:E2" totalsRowShown="0">
  <autoFilter ref="A1:E2" xr:uid="{8B18FF43-8452-4C2E-B678-11996F430BB4}"/>
  <tableColumns count="5">
    <tableColumn id="1" xr3:uid="{8177384D-9B20-463F-B052-297A856507D7}" name="ID">
      <calculatedColumnFormula>ROW(A1)</calculatedColumnFormula>
    </tableColumn>
    <tableColumn id="5" xr3:uid="{D5AEE341-1C2A-4AE1-8409-1F4176458B08}" name="ClasseID"/>
    <tableColumn id="2" xr3:uid="{142ADF46-BC60-48F9-B0FF-2EC774164074}" name="Nome"/>
    <tableColumn id="3" xr3:uid="{A34586BC-43EB-4782-813E-DB5CC75FF1A6}" name="NívelDesbloqueio"/>
    <tableColumn id="4" xr3:uid="{A80648F4-73C3-43E1-A3B2-4CDA6517CADE}" name="Descri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BDD47A-B3D2-48C5-A877-BEC552089F0F}" name="TabPericias" displayName="TabPericias" ref="A1:D2" totalsRowShown="0">
  <autoFilter ref="A1:D2" xr:uid="{82BDD47A-B3D2-48C5-A877-BEC552089F0F}"/>
  <tableColumns count="4">
    <tableColumn id="1" xr3:uid="{3137713B-071E-466C-934C-5F03F126498E}" name="ID">
      <calculatedColumnFormula>ROW(A1)</calculatedColumnFormula>
    </tableColumn>
    <tableColumn id="2" xr3:uid="{2A7256A1-9134-408C-BC88-7800D5A4A445}" name="Nome"/>
    <tableColumn id="3" xr3:uid="{8E216E4E-4753-4E15-94C8-DAA82836631B}" name="AtributoID"/>
    <tableColumn id="4" xr3:uid="{F95CF64B-8858-4730-9B30-2A7D215E8FE4}" name="Descriç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803A3B-0737-4776-B0AA-97BB8BC6893C}" name="TabIdiomas" displayName="TabIdiomas" ref="A1:C2" totalsRowShown="0">
  <autoFilter ref="A1:C2" xr:uid="{09803A3B-0737-4776-B0AA-97BB8BC6893C}"/>
  <tableColumns count="3">
    <tableColumn id="1" xr3:uid="{AD607A4F-4535-4131-9C05-FB7750A0075F}" name="ID">
      <calculatedColumnFormula>ROW(A1)</calculatedColumnFormula>
    </tableColumn>
    <tableColumn id="2" xr3:uid="{F0089A89-B69D-4E16-A1D8-2D0E14BAAB0F}" name="Nome"/>
    <tableColumn id="3" xr3:uid="{AFFFDD0B-7FBF-4EC3-AC5A-865AE232E7FE}" name="Descriçã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7698D2-B69F-41E3-95D0-BCAB3D44BCEF}" name="TabAtributo" displayName="TabAtributo" ref="A1:C7" totalsRowShown="0">
  <autoFilter ref="A1:C7" xr:uid="{A27698D2-B69F-41E3-95D0-BCAB3D44BCEF}"/>
  <tableColumns count="3">
    <tableColumn id="1" xr3:uid="{DD4AE31A-717F-4E55-A309-9DF48A4DC67B}" name="ID">
      <calculatedColumnFormula>ROW(A1)</calculatedColumnFormula>
    </tableColumn>
    <tableColumn id="2" xr3:uid="{3EF069D7-821E-4816-88D3-25FAD80DA135}" name="Nome"/>
    <tableColumn id="3" xr3:uid="{C3A2DF5D-7214-4F37-9B54-F4AD79732661}" name="Abreviaçã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793167B-B869-47FA-AF05-5587BC2C473A}" name="TabRacaHabilit" displayName="TabRacaHabilit" ref="A1:B2" insertRow="1" totalsRowShown="0">
  <autoFilter ref="A1:B2" xr:uid="{D793167B-B869-47FA-AF05-5587BC2C473A}"/>
  <tableColumns count="2">
    <tableColumn id="1" xr3:uid="{06EFF990-84E6-4596-A2A3-F51C3F8A57CF}" name="RacaID"/>
    <tableColumn id="2" xr3:uid="{826FF8C6-1CDF-4913-A2A4-E2048A4B8EF8}" name="Habilidade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6FEA9F-60DD-4058-85EA-58D915E9D9DA}" name="TabRacas" displayName="TabRacas" ref="A1:E2" totalsRowShown="0">
  <autoFilter ref="A1:E2" xr:uid="{3E6FEA9F-60DD-4058-85EA-58D915E9D9DA}"/>
  <tableColumns count="5">
    <tableColumn id="1" xr3:uid="{9BD8A61A-CDDE-48F8-BBE3-7C0828D00C29}" name="ID">
      <calculatedColumnFormula>ROW(A1)</calculatedColumnFormula>
    </tableColumn>
    <tableColumn id="2" xr3:uid="{48B10D64-EFB7-4DF5-B37E-1115094C8812}" name="Nome"/>
    <tableColumn id="3" xr3:uid="{7D3A5976-B89E-4AC3-9116-DC7C842BA3B2}" name="Deslocamento"/>
    <tableColumn id="4" xr3:uid="{C00CE63D-8359-4F32-92E3-3148D3F50B40}" name="TamanhoID"/>
    <tableColumn id="5" xr3:uid="{272B3A39-208B-4FA3-B509-5A174A55F8B7}" name="Descriçã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CDB9BE1-8F5E-47A5-96F5-37C3139757B9}" name="TabSubRacas" displayName="TabSubRacas" ref="A1:D2" totalsRowShown="0">
  <autoFilter ref="A1:D2" xr:uid="{BCDB9BE1-8F5E-47A5-96F5-37C3139757B9}"/>
  <tableColumns count="4">
    <tableColumn id="1" xr3:uid="{C446BA8D-2EFA-4429-9228-66463CCA4EC1}" name="ID">
      <calculatedColumnFormula>ROW(A1)</calculatedColumnFormula>
    </tableColumn>
    <tableColumn id="2" xr3:uid="{AC919314-C3C4-46C9-AD7D-E75E2DB3E170}" name="RacaID"/>
    <tableColumn id="3" xr3:uid="{D596A908-7073-4F89-9B57-E4D4B790813B}" name="Nome"/>
    <tableColumn id="4" xr3:uid="{A50CA81B-EDEA-4EB5-A656-E0455FA99806}" name="Descriçã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A498A5-01CB-4B81-AC3E-5F4E806ED176}" name="TabMagias" displayName="TabMagias" ref="A1:K2" totalsRowShown="0">
  <autoFilter ref="A1:K2" xr:uid="{FCA498A5-01CB-4B81-AC3E-5F4E806ED176}"/>
  <tableColumns count="11">
    <tableColumn id="1" xr3:uid="{BF3E1966-AA6D-4E70-93C3-2BAA3AAEA31E}" name="ID">
      <calculatedColumnFormula>ROW(A1)</calculatedColumnFormula>
    </tableColumn>
    <tableColumn id="2" xr3:uid="{B8D460F3-DF07-42DC-8DC4-6802B2A07968}" name="Nome"/>
    <tableColumn id="3" xr3:uid="{46F370BD-711A-4176-B75C-D0D49BD445E5}" name="Nível"/>
    <tableColumn id="4" xr3:uid="{F08BC83A-8FF0-4C97-947A-611BABEE763A}" name="EscolaID"/>
    <tableColumn id="11" xr3:uid="{95FACC00-C3C8-4711-A5D2-78901FFCF2EE}" name="TempoConjuração"/>
    <tableColumn id="5" xr3:uid="{56596BCB-3A51-4ECA-912E-58B5469FCAE4}" name="Alcance"/>
    <tableColumn id="6" xr3:uid="{EC0839C2-A339-47F7-A0E3-C63F4EC4DB91}" name="Duração"/>
    <tableColumn id="7" xr3:uid="{38E6532B-AF17-4A51-ABD3-A95149723FCA}" name="Componente"/>
    <tableColumn id="8" xr3:uid="{5921087E-2B7E-4AB1-89E5-4F04AB6479C3}" name="Ritual"/>
    <tableColumn id="9" xr3:uid="{00E03A7F-8300-4BE9-8C9F-1EAB1D6A6C1C}" name="Concentração"/>
    <tableColumn id="10" xr3:uid="{96145BB9-6FB2-49AC-A92C-6C005B9974FD}" name="Descriçã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0F9C65-2420-419B-B79B-851D2DC0665E}" name="TabTalentos" displayName="TabTalentos" ref="A1:D2" totalsRowShown="0">
  <autoFilter ref="A1:D2" xr:uid="{450F9C65-2420-419B-B79B-851D2DC0665E}"/>
  <tableColumns count="4">
    <tableColumn id="1" xr3:uid="{08EA5714-FF57-465B-867A-93D989DA12C4}" name="ID">
      <calculatedColumnFormula>ROW(A1)</calculatedColumnFormula>
    </tableColumn>
    <tableColumn id="2" xr3:uid="{9621968A-5078-49DE-9B85-A6098A8A3EBC}" name="Nome"/>
    <tableColumn id="3" xr3:uid="{1134B807-8E4C-436B-B456-7B3A4EC643C9}" name="PréRequisito"/>
    <tableColumn id="4" xr3:uid="{6D806235-D5C7-48AE-80C7-652DD16539DB}" name="Descriçã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A8BE69-3D3B-4C09-9C94-B668C07F98D5}" name="TabEquipamentos" displayName="TabEquipamentos" ref="A1:E2" totalsRowShown="0">
  <autoFilter ref="A1:E2" xr:uid="{68A8BE69-3D3B-4C09-9C94-B668C07F98D5}"/>
  <tableColumns count="5">
    <tableColumn id="1" xr3:uid="{785BA9E3-6A82-42AB-9F30-921DFA3A453A}" name="ID">
      <calculatedColumnFormula>ROW(A1)</calculatedColumnFormula>
    </tableColumn>
    <tableColumn id="2" xr3:uid="{4D22A0C8-069B-4EC4-A49A-FEC66FFF6119}" name="Nome"/>
    <tableColumn id="3" xr3:uid="{70C3DB25-E7C7-46EC-88A6-E1E1C983B248}" name="TipoEquipamentoID"/>
    <tableColumn id="4" xr3:uid="{B5857275-05A2-47CF-80E1-64774C8D9DB3}" name="Peso"/>
    <tableColumn id="5" xr3:uid="{E3669268-6F25-48A0-8ABE-E03C752940FE}" name="Valo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77CEF8A-751E-40CE-A8D8-36C6D53F7064}" name="TabArmas" displayName="TabArmas" ref="A1:H2" totalsRowShown="0">
  <autoFilter ref="A1:H2" xr:uid="{E77CEF8A-751E-40CE-A8D8-36C6D53F7064}"/>
  <tableColumns count="8">
    <tableColumn id="1" xr3:uid="{A340065B-E9C0-4704-98C2-85E88DF1ABCC}" name="ID">
      <calculatedColumnFormula>ROW(A1)</calculatedColumnFormula>
    </tableColumn>
    <tableColumn id="2" xr3:uid="{E6C79CA6-859A-4D17-86C9-2420D7FE0B14}" name="Nome"/>
    <tableColumn id="3" xr3:uid="{E5F526F6-E64A-4D69-BF84-557AEB31BD2C}" name="Categoria"/>
    <tableColumn id="4" xr3:uid="{773BECAA-0C6A-4170-A429-E88AE88BAEFF}" name="Dano"/>
    <tableColumn id="5" xr3:uid="{FE1A22A2-DD1B-4B67-A43F-3188EAFC7B00}" name="TipoDanoID"/>
    <tableColumn id="6" xr3:uid="{5432BE60-730F-42B8-853A-D94DF34282BB}" name="Alcance"/>
    <tableColumn id="7" xr3:uid="{9DB3B4F3-78E6-4FDC-98EF-D0CFA54304FD}" name="Peso"/>
    <tableColumn id="8" xr3:uid="{743DE294-A483-4F1E-9B56-C18CB2A8B945}" name="Valo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19D371F-DBA0-4373-A79F-476070798DE6}" name="TabArmaduras" displayName="TabArmaduras" ref="A1:I2" totalsRowShown="0">
  <autoFilter ref="A1:I2" xr:uid="{B19D371F-DBA0-4373-A79F-476070798DE6}"/>
  <tableColumns count="9">
    <tableColumn id="1" xr3:uid="{6B8F895B-D582-4458-9FD8-1F9C46939439}" name="ID">
      <calculatedColumnFormula>ROW(A1)</calculatedColumnFormula>
    </tableColumn>
    <tableColumn id="2" xr3:uid="{A8766D1F-2A44-4A09-BEE7-0FDB55B9A351}" name="Nome"/>
    <tableColumn id="3" xr3:uid="{32110ECD-E99D-48AE-913E-612B324D22DD}" name="Tipo"/>
    <tableColumn id="4" xr3:uid="{D5C775B7-EB72-46D6-BAE3-A4CB0254EB5A}" name="CA"/>
    <tableColumn id="5" xr3:uid="{383E8628-01B7-41E3-BEA4-4769E6149DA0}" name="DESMax"/>
    <tableColumn id="6" xr3:uid="{F93169F0-08DD-4CA1-BCCD-5C2A638060A2}" name="ForçaMínima"/>
    <tableColumn id="7" xr3:uid="{BD9BCE3C-4F69-4A78-BF4B-6D3984789C87}" name="Furtividade"/>
    <tableColumn id="8" xr3:uid="{A9C59C41-95F6-4F6A-BB32-1345005EC90C}" name="Peso"/>
    <tableColumn id="9" xr3:uid="{EE50B74E-FED1-49AE-8B8C-D016688052F0}" name="Valo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077F006-419F-40B3-A6A6-F8917E394C49}" name="TabFerramentas" displayName="TabFerramentas" ref="A1:D2" totalsRowShown="0">
  <autoFilter ref="A1:D2" xr:uid="{F077F006-419F-40B3-A6A6-F8917E394C49}"/>
  <tableColumns count="4">
    <tableColumn id="1" xr3:uid="{0C4336DD-716D-4997-BBE8-BD999457C89F}" name="ID">
      <calculatedColumnFormula>ROW(A1)</calculatedColumnFormula>
    </tableColumn>
    <tableColumn id="2" xr3:uid="{2429DAE3-0108-46AA-9AEC-FD988D0A958E}" name="Nome"/>
    <tableColumn id="3" xr3:uid="{C0FF6A28-F541-4CC8-8D14-C4A34C485D24}" name="Categoria"/>
    <tableColumn id="4" xr3:uid="{1CB6CF88-264B-4208-9B22-42959A649DBD}" name="Descriçã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FF1C31-9169-4500-92D2-9398B2BCF55E}" name="TabProfiClasse" displayName="TabProfiClasse" ref="A1:C2" insertRow="1" totalsRowShown="0">
  <autoFilter ref="A1:C2" xr:uid="{E1FF1C31-9169-4500-92D2-9398B2BCF55E}"/>
  <tableColumns count="3">
    <tableColumn id="1" xr3:uid="{9A8E95F7-4CAD-49E4-9358-09FEC59242AF}" name="ClasseID"/>
    <tableColumn id="2" xr3:uid="{2C1073A7-2598-4F51-AA12-6EA038D8C217}" name="Tipo"/>
    <tableColumn id="3" xr3:uid="{73D10E1F-3748-4244-A22C-36F0DDF8B194}" name="Item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6EA0219-53EA-4F81-A7AD-0B60B39331A1}" name="TabHabilidades" displayName="TabHabilidades" ref="A1:C2" totalsRowShown="0">
  <autoFilter ref="A1:C2" xr:uid="{F6EA0219-53EA-4F81-A7AD-0B60B39331A1}"/>
  <tableColumns count="3">
    <tableColumn id="1" xr3:uid="{69897989-01EC-4FE2-A2D3-58E11A3169CB}" name="ID">
      <calculatedColumnFormula>ROW(A1)</calculatedColumnFormula>
    </tableColumn>
    <tableColumn id="2" xr3:uid="{D23BA91C-2F5A-4D45-8D6B-B513C7E8AD00}" name="Nome"/>
    <tableColumn id="3" xr3:uid="{E518E1C7-20AE-4802-AF8A-CF8009BBE5D4}" name="Descriçã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9C57F2B-99C9-4A04-89F7-37B1C70DAC4F}" name="TabClassHabilit" displayName="TabClassHabilit" ref="A1:C2" insertRow="1" totalsRowShown="0">
  <autoFilter ref="A1:C2" xr:uid="{C9C57F2B-99C9-4A04-89F7-37B1C70DAC4F}"/>
  <tableColumns count="3">
    <tableColumn id="1" xr3:uid="{3E241EDB-2798-42CA-AFC0-1497CB72D305}" name="ClasseID"/>
    <tableColumn id="2" xr3:uid="{DF4E4933-0798-4FDE-A7E9-6E07E84AD928}" name="Nível"/>
    <tableColumn id="3" xr3:uid="{91F0EC77-B0EF-4DD6-944C-ECC5FC0885F3}" name="HabilidadeID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B0893B0-CF7E-4841-97F1-CB2309C2E635}" name="TabSubClasshabilit" displayName="TabSubClasshabilit" ref="A1:C2" insertRow="1" totalsRowShown="0">
  <autoFilter ref="A1:C2" xr:uid="{9B0893B0-CF7E-4841-97F1-CB2309C2E635}"/>
  <tableColumns count="3">
    <tableColumn id="1" xr3:uid="{A73405D1-3FE3-489A-9E63-B06361B17D26}" name="SubClasseID"/>
    <tableColumn id="2" xr3:uid="{AF6299FA-806F-42A0-B503-8496A8E45013}" name="Nível"/>
    <tableColumn id="3" xr3:uid="{720509F8-8270-4BDC-A1FD-41EC79EB8461}" name="HabilidadeI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38C60DE-805A-40E7-8C2B-DBB9FA7E5A13}" name="TabTamanho" displayName="TabTamanho" ref="A1:B2" totalsRowShown="0">
  <autoFilter ref="A1:B2" xr:uid="{F38C60DE-805A-40E7-8C2B-DBB9FA7E5A13}"/>
  <tableColumns count="2">
    <tableColumn id="1" xr3:uid="{9FDCA62C-AC04-491C-ABE7-A636F284A54D}" name="ID">
      <calculatedColumnFormula>ROW(A1)</calculatedColumnFormula>
    </tableColumn>
    <tableColumn id="2" xr3:uid="{33C7B84C-C5E4-4C12-A8EC-3954B2498D2D}" name="Nom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495F61C-3E82-4180-8BF9-8A14C5F0F398}" name="TabEscolaMagias" displayName="TabEscolaMagias" ref="A1:C2" totalsRowShown="0">
  <autoFilter ref="A1:C2" xr:uid="{B495F61C-3E82-4180-8BF9-8A14C5F0F398}"/>
  <tableColumns count="3">
    <tableColumn id="1" xr3:uid="{49DFC248-9654-45B8-BB95-CB468E3C389C}" name="ID">
      <calculatedColumnFormula>ROW(A1)</calculatedColumnFormula>
    </tableColumn>
    <tableColumn id="2" xr3:uid="{577C849D-CA7A-4233-9F7D-6E6CB201B1D3}" name="Nome"/>
    <tableColumn id="3" xr3:uid="{296451A9-B2B2-425B-8984-35A87345590E}" name="Descriçã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8C24799-7739-43BD-A04D-70FB96C8FFF4}" name="TabTipoDanos" displayName="TabTipoDanos" ref="A1:B2" totalsRowShown="0">
  <autoFilter ref="A1:B2" xr:uid="{D8C24799-7739-43BD-A04D-70FB96C8FFF4}"/>
  <tableColumns count="2">
    <tableColumn id="1" xr3:uid="{DF0C257D-F47B-447E-93F9-BC8B1CD5906A}" name="ID">
      <calculatedColumnFormula>ROW(A1)</calculatedColumnFormula>
    </tableColumn>
    <tableColumn id="2" xr3:uid="{8857DF23-E3ED-49A2-AA64-E0E5DB9FD039}" name="Nom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A6733B4-A231-4921-974B-0DC5C9AE0DE8}" name="TabArmaProprie" displayName="TabArmaProprie" ref="A1:B2" insertRow="1" totalsRowShown="0">
  <autoFilter ref="A1:B2" xr:uid="{7A6733B4-A231-4921-974B-0DC5C9AE0DE8}"/>
  <tableColumns count="2">
    <tableColumn id="1" xr3:uid="{BFABEDDC-9C8C-4255-B0D6-5636BE7A7909}" name="ArmaID"/>
    <tableColumn id="2" xr3:uid="{A22899DC-0530-4001-8535-EDFAB1A903D3}" name="Propriedade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53C7-D817-4C2F-B9FE-86E1B221DFAA}">
  <dimension ref="A1:C2"/>
  <sheetViews>
    <sheetView workbookViewId="0">
      <selection sqref="A1:C2"/>
    </sheetView>
  </sheetViews>
  <sheetFormatPr defaultRowHeight="15" x14ac:dyDescent="0.25"/>
  <cols>
    <col min="3" max="3" width="11.5703125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727B-0CEF-49C5-AEA2-734E4AEFDEC3}">
  <dimension ref="A1:C2"/>
  <sheetViews>
    <sheetView workbookViewId="0">
      <selection sqref="A1:C2"/>
    </sheetView>
  </sheetViews>
  <sheetFormatPr defaultRowHeight="15" x14ac:dyDescent="0.25"/>
  <cols>
    <col min="3" max="3" width="11.5703125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C3" sqref="C3"/>
    </sheetView>
  </sheetViews>
  <sheetFormatPr defaultRowHeight="15" x14ac:dyDescent="0.25"/>
  <cols>
    <col min="3" max="3" width="11.7109375" customWidth="1"/>
    <col min="4" max="4" width="13" customWidth="1"/>
    <col min="5" max="5" width="18.140625" customWidth="1"/>
    <col min="6" max="7" width="14.140625" customWidth="1"/>
    <col min="8" max="8" width="16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37</v>
      </c>
      <c r="G1" t="s">
        <v>38</v>
      </c>
      <c r="H1" t="s">
        <v>4</v>
      </c>
    </row>
    <row r="2" spans="1:8" x14ac:dyDescent="0.25">
      <c r="A2">
        <f>ROW(A1)</f>
        <v>1</v>
      </c>
      <c r="B2" t="s">
        <v>5</v>
      </c>
      <c r="C2">
        <v>10</v>
      </c>
      <c r="D2" t="s">
        <v>6</v>
      </c>
      <c r="F2" t="s">
        <v>7</v>
      </c>
      <c r="G2" t="s">
        <v>8</v>
      </c>
      <c r="H2">
        <v>2</v>
      </c>
    </row>
    <row r="3" spans="1:8" x14ac:dyDescent="0.25">
      <c r="A3">
        <f>ROW(A2)</f>
        <v>2</v>
      </c>
      <c r="B3" t="s">
        <v>9</v>
      </c>
      <c r="C3">
        <v>6</v>
      </c>
      <c r="D3" t="s">
        <v>10</v>
      </c>
      <c r="E3" t="s">
        <v>11</v>
      </c>
      <c r="F3" t="s">
        <v>11</v>
      </c>
      <c r="G3" t="s">
        <v>12</v>
      </c>
      <c r="H3">
        <v>2</v>
      </c>
    </row>
    <row r="4" spans="1:8" x14ac:dyDescent="0.25">
      <c r="A4">
        <f>ROW(A3)</f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0845-DCD4-48E5-9961-57C2A00B8ACA}">
  <dimension ref="A1:E2"/>
  <sheetViews>
    <sheetView workbookViewId="0">
      <selection activeCell="B2" sqref="B2"/>
    </sheetView>
  </sheetViews>
  <sheetFormatPr defaultRowHeight="15" x14ac:dyDescent="0.25"/>
  <cols>
    <col min="4" max="4" width="19.140625" customWidth="1"/>
    <col min="5" max="5" width="11.5703125" customWidth="1"/>
  </cols>
  <sheetData>
    <row r="1" spans="1:5" x14ac:dyDescent="0.25">
      <c r="A1" t="s">
        <v>0</v>
      </c>
      <c r="B1" t="s">
        <v>25</v>
      </c>
      <c r="C1" t="s">
        <v>1</v>
      </c>
      <c r="D1" t="s">
        <v>40</v>
      </c>
      <c r="E1" t="s">
        <v>20</v>
      </c>
    </row>
    <row r="2" spans="1:5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54E5-6426-4C27-8B39-6ADD067B277E}">
  <dimension ref="A1:D2"/>
  <sheetViews>
    <sheetView workbookViewId="0">
      <selection activeCell="C2" sqref="C2"/>
    </sheetView>
  </sheetViews>
  <sheetFormatPr defaultRowHeight="15" x14ac:dyDescent="0.25"/>
  <cols>
    <col min="3" max="3" width="10.5703125" customWidth="1"/>
    <col min="4" max="4" width="11.5703125" customWidth="1"/>
  </cols>
  <sheetData>
    <row r="1" spans="1:4" x14ac:dyDescent="0.25">
      <c r="A1" t="s">
        <v>0</v>
      </c>
      <c r="B1" t="s">
        <v>1</v>
      </c>
      <c r="C1" t="s">
        <v>26</v>
      </c>
      <c r="D1" t="s">
        <v>20</v>
      </c>
    </row>
    <row r="2" spans="1:4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3B2B-2DB0-4DD3-A034-6B829317CEC2}">
  <dimension ref="A1:C2"/>
  <sheetViews>
    <sheetView workbookViewId="0">
      <selection sqref="A1:C2"/>
    </sheetView>
  </sheetViews>
  <sheetFormatPr defaultRowHeight="15" x14ac:dyDescent="0.25"/>
  <cols>
    <col min="3" max="3" width="11.5703125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93A3-E65F-4FC3-92B5-49F79547150C}">
  <dimension ref="A1:C7"/>
  <sheetViews>
    <sheetView workbookViewId="0">
      <selection activeCell="F10" sqref="F10"/>
    </sheetView>
  </sheetViews>
  <sheetFormatPr defaultRowHeight="15" x14ac:dyDescent="0.25"/>
  <cols>
    <col min="3" max="3" width="13" customWidth="1"/>
  </cols>
  <sheetData>
    <row r="1" spans="1:3" x14ac:dyDescent="0.25">
      <c r="A1" t="s">
        <v>0</v>
      </c>
      <c r="B1" t="s">
        <v>1</v>
      </c>
      <c r="C1" t="s">
        <v>27</v>
      </c>
    </row>
    <row r="2" spans="1:3" x14ac:dyDescent="0.25">
      <c r="A2">
        <f t="shared" ref="A2:A7" si="0">ROW(A1)</f>
        <v>1</v>
      </c>
      <c r="B2" t="s">
        <v>7</v>
      </c>
      <c r="C2" t="s">
        <v>28</v>
      </c>
    </row>
    <row r="3" spans="1:3" x14ac:dyDescent="0.25">
      <c r="A3">
        <f t="shared" si="0"/>
        <v>2</v>
      </c>
      <c r="B3" t="s">
        <v>29</v>
      </c>
      <c r="C3" t="s">
        <v>30</v>
      </c>
    </row>
    <row r="4" spans="1:3" x14ac:dyDescent="0.25">
      <c r="A4">
        <f t="shared" si="0"/>
        <v>3</v>
      </c>
      <c r="B4" t="s">
        <v>31</v>
      </c>
      <c r="C4" t="s">
        <v>32</v>
      </c>
    </row>
    <row r="5" spans="1:3" x14ac:dyDescent="0.25">
      <c r="A5">
        <f t="shared" si="0"/>
        <v>4</v>
      </c>
      <c r="B5" t="s">
        <v>11</v>
      </c>
      <c r="C5" t="s">
        <v>33</v>
      </c>
    </row>
    <row r="6" spans="1:3" x14ac:dyDescent="0.25">
      <c r="A6">
        <f t="shared" si="0"/>
        <v>5</v>
      </c>
      <c r="B6" t="s">
        <v>12</v>
      </c>
      <c r="C6" t="s">
        <v>34</v>
      </c>
    </row>
    <row r="7" spans="1:3" x14ac:dyDescent="0.25">
      <c r="A7">
        <f t="shared" si="0"/>
        <v>6</v>
      </c>
      <c r="B7" t="s">
        <v>35</v>
      </c>
      <c r="C7" t="s">
        <v>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CA09-CC00-4D12-8A32-8CFF0969F018}">
  <dimension ref="A1:B1"/>
  <sheetViews>
    <sheetView workbookViewId="0">
      <selection sqref="A1:B2"/>
    </sheetView>
  </sheetViews>
  <sheetFormatPr defaultRowHeight="15" x14ac:dyDescent="0.25"/>
  <cols>
    <col min="2" max="2" width="14.5703125" customWidth="1"/>
  </cols>
  <sheetData>
    <row r="1" spans="1:2" x14ac:dyDescent="0.25">
      <c r="A1" t="s">
        <v>42</v>
      </c>
      <c r="B1" t="s">
        <v>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92F6-369F-4E77-AEEE-3790560F357A}">
  <dimension ref="A1:E2"/>
  <sheetViews>
    <sheetView tabSelected="1" workbookViewId="0">
      <selection activeCell="E2" sqref="E2"/>
    </sheetView>
  </sheetViews>
  <sheetFormatPr defaultRowHeight="15" x14ac:dyDescent="0.25"/>
  <cols>
    <col min="3" max="3" width="15.85546875" customWidth="1"/>
    <col min="4" max="4" width="13.28515625" bestFit="1" customWidth="1"/>
    <col min="5" max="5" width="9.28515625" customWidth="1"/>
  </cols>
  <sheetData>
    <row r="1" spans="1:5" x14ac:dyDescent="0.25">
      <c r="A1" t="s">
        <v>0</v>
      </c>
      <c r="B1" t="s">
        <v>1</v>
      </c>
      <c r="C1" t="s">
        <v>13</v>
      </c>
      <c r="D1" t="s">
        <v>41</v>
      </c>
      <c r="E1" t="s">
        <v>20</v>
      </c>
    </row>
    <row r="2" spans="1:5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928E-15EF-423E-82C7-49A4AD43F127}">
  <dimension ref="A1:D2"/>
  <sheetViews>
    <sheetView workbookViewId="0">
      <selection sqref="A1:D2"/>
    </sheetView>
  </sheetViews>
  <sheetFormatPr defaultRowHeight="15" x14ac:dyDescent="0.25"/>
  <cols>
    <col min="4" max="4" width="11.5703125" customWidth="1"/>
  </cols>
  <sheetData>
    <row r="1" spans="1:4" x14ac:dyDescent="0.25">
      <c r="A1" t="s">
        <v>0</v>
      </c>
      <c r="B1" t="s">
        <v>42</v>
      </c>
      <c r="C1" t="s">
        <v>1</v>
      </c>
      <c r="D1" t="s">
        <v>20</v>
      </c>
    </row>
    <row r="2" spans="1:4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7480-35FD-4C21-B377-28097CC42558}">
  <dimension ref="A1:K2"/>
  <sheetViews>
    <sheetView workbookViewId="0">
      <selection activeCell="D1" sqref="D1"/>
    </sheetView>
  </sheetViews>
  <sheetFormatPr defaultRowHeight="15" x14ac:dyDescent="0.25"/>
  <cols>
    <col min="6" max="6" width="10" customWidth="1"/>
    <col min="7" max="7" width="10.28515625" customWidth="1"/>
    <col min="8" max="8" width="14.7109375" customWidth="1"/>
    <col min="10" max="10" width="15.140625" customWidth="1"/>
    <col min="11" max="11" width="11.5703125" customWidth="1"/>
  </cols>
  <sheetData>
    <row r="1" spans="1:11" x14ac:dyDescent="0.25">
      <c r="A1" t="s">
        <v>0</v>
      </c>
      <c r="B1" t="s">
        <v>1</v>
      </c>
      <c r="C1" t="s">
        <v>14</v>
      </c>
      <c r="D1" t="s">
        <v>50</v>
      </c>
      <c r="E1" t="s">
        <v>51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67DC-0AB9-47E8-9AFE-2A73B8250FA5}">
  <dimension ref="A1:D2"/>
  <sheetViews>
    <sheetView workbookViewId="0">
      <selection sqref="A1:D2"/>
    </sheetView>
  </sheetViews>
  <sheetFormatPr defaultRowHeight="15" x14ac:dyDescent="0.25"/>
  <cols>
    <col min="3" max="3" width="14.5703125" customWidth="1"/>
    <col min="4" max="4" width="11.5703125" customWidth="1"/>
  </cols>
  <sheetData>
    <row r="1" spans="1:4" x14ac:dyDescent="0.25">
      <c r="A1" t="s">
        <v>0</v>
      </c>
      <c r="B1" t="s">
        <v>1</v>
      </c>
      <c r="C1" t="s">
        <v>21</v>
      </c>
      <c r="D1" t="s">
        <v>20</v>
      </c>
    </row>
    <row r="2" spans="1:4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AAD8-F8AE-48D8-BC87-328E7F9ED11A}">
  <dimension ref="A1:E2"/>
  <sheetViews>
    <sheetView workbookViewId="0">
      <selection activeCell="C2" sqref="C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53</v>
      </c>
      <c r="D1" t="s">
        <v>23</v>
      </c>
      <c r="E1" t="s">
        <v>24</v>
      </c>
    </row>
    <row r="2" spans="1:5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4FDB-2F12-43A2-A0AD-128455CD32B8}">
  <dimension ref="A1:H2"/>
  <sheetViews>
    <sheetView workbookViewId="0">
      <selection sqref="A1:H2"/>
    </sheetView>
  </sheetViews>
  <sheetFormatPr defaultRowHeight="15" x14ac:dyDescent="0.25"/>
  <cols>
    <col min="3" max="3" width="11.5703125" customWidth="1"/>
    <col min="5" max="5" width="13.42578125" customWidth="1"/>
    <col min="6" max="6" width="10" customWidth="1"/>
  </cols>
  <sheetData>
    <row r="1" spans="1:8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15</v>
      </c>
      <c r="G1" t="s">
        <v>23</v>
      </c>
      <c r="H1" t="s">
        <v>24</v>
      </c>
    </row>
    <row r="2" spans="1:8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F42B-9310-4678-913C-8BBAB7DE462E}">
  <dimension ref="A1:I2"/>
  <sheetViews>
    <sheetView workbookViewId="0">
      <selection sqref="A1:I2"/>
    </sheetView>
  </sheetViews>
  <sheetFormatPr defaultRowHeight="15" x14ac:dyDescent="0.25"/>
  <cols>
    <col min="5" max="5" width="10.28515625" customWidth="1"/>
    <col min="6" max="6" width="14.7109375" customWidth="1"/>
    <col min="7" max="7" width="13.28515625" customWidth="1"/>
  </cols>
  <sheetData>
    <row r="1" spans="1:9" x14ac:dyDescent="0.25">
      <c r="A1" t="s">
        <v>0</v>
      </c>
      <c r="B1" t="s">
        <v>1</v>
      </c>
      <c r="C1" t="s">
        <v>22</v>
      </c>
      <c r="D1" t="s">
        <v>46</v>
      </c>
      <c r="E1" t="s">
        <v>47</v>
      </c>
      <c r="F1" t="s">
        <v>48</v>
      </c>
      <c r="G1" t="s">
        <v>49</v>
      </c>
      <c r="H1" t="s">
        <v>23</v>
      </c>
      <c r="I1" t="s">
        <v>24</v>
      </c>
    </row>
    <row r="2" spans="1:9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2245-FFD8-4C34-A2F3-725F3966F61A}">
  <dimension ref="A1:D2"/>
  <sheetViews>
    <sheetView workbookViewId="0">
      <selection sqref="A1:D2"/>
    </sheetView>
  </sheetViews>
  <sheetFormatPr defaultRowHeight="15" x14ac:dyDescent="0.25"/>
  <cols>
    <col min="3" max="4" width="11.5703125" customWidth="1"/>
  </cols>
  <sheetData>
    <row r="1" spans="1:4" x14ac:dyDescent="0.25">
      <c r="A1" t="s">
        <v>0</v>
      </c>
      <c r="B1" t="s">
        <v>1</v>
      </c>
      <c r="C1" t="s">
        <v>43</v>
      </c>
      <c r="D1" t="s">
        <v>20</v>
      </c>
    </row>
    <row r="2" spans="1:4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77D5-DB2F-4D28-8212-39C0FAB6DCD5}">
  <dimension ref="A1:C1"/>
  <sheetViews>
    <sheetView workbookViewId="0">
      <selection activeCell="C2" sqref="C2"/>
    </sheetView>
  </sheetViews>
  <sheetFormatPr defaultRowHeight="15" x14ac:dyDescent="0.25"/>
  <cols>
    <col min="1" max="1" width="10.5703125" customWidth="1"/>
  </cols>
  <sheetData>
    <row r="1" spans="1:3" x14ac:dyDescent="0.25">
      <c r="A1" t="s">
        <v>25</v>
      </c>
      <c r="B1" t="s">
        <v>22</v>
      </c>
      <c r="C1" t="s">
        <v>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CBD3-E357-4115-BE6A-63F3C023B33A}">
  <dimension ref="A1:C2"/>
  <sheetViews>
    <sheetView workbookViewId="0">
      <selection sqref="A1:C2"/>
    </sheetView>
  </sheetViews>
  <sheetFormatPr defaultRowHeight="15" x14ac:dyDescent="0.25"/>
  <cols>
    <col min="3" max="3" width="11.5703125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F360-5FDF-49A0-BE1F-A5C9A700346D}">
  <dimension ref="A1:C1"/>
  <sheetViews>
    <sheetView workbookViewId="0">
      <selection sqref="A1:C2"/>
    </sheetView>
  </sheetViews>
  <sheetFormatPr defaultRowHeight="15" x14ac:dyDescent="0.25"/>
  <cols>
    <col min="1" max="1" width="10.5703125" customWidth="1"/>
    <col min="3" max="3" width="14.5703125" customWidth="1"/>
  </cols>
  <sheetData>
    <row r="1" spans="1:3" x14ac:dyDescent="0.25">
      <c r="A1" t="s">
        <v>25</v>
      </c>
      <c r="B1" t="s">
        <v>14</v>
      </c>
      <c r="C1" t="s">
        <v>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11D7-EF65-40A8-B7A6-F6EF0B4FF6E4}">
  <dimension ref="A1:C1"/>
  <sheetViews>
    <sheetView workbookViewId="0">
      <selection sqref="A1:C2"/>
    </sheetView>
  </sheetViews>
  <sheetFormatPr defaultRowHeight="15" x14ac:dyDescent="0.25"/>
  <cols>
    <col min="1" max="1" width="13.85546875" customWidth="1"/>
    <col min="3" max="3" width="14.5703125" customWidth="1"/>
  </cols>
  <sheetData>
    <row r="1" spans="1:3" x14ac:dyDescent="0.25">
      <c r="A1" t="s">
        <v>55</v>
      </c>
      <c r="B1" t="s">
        <v>14</v>
      </c>
      <c r="C1" t="s">
        <v>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4C12-E6D8-45FC-834C-950D6DADF370}">
  <dimension ref="A1:B2"/>
  <sheetViews>
    <sheetView workbookViewId="0">
      <selection sqref="A1: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E489-CCCC-4BCA-A233-A9CC4AC5A9D6}">
  <dimension ref="A1:C2"/>
  <sheetViews>
    <sheetView workbookViewId="0">
      <selection sqref="A1:C2"/>
    </sheetView>
  </sheetViews>
  <sheetFormatPr defaultRowHeight="15" x14ac:dyDescent="0.25"/>
  <cols>
    <col min="3" max="3" width="11.5703125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8977-CF9B-4FFF-801E-A1BA7676DCDE}">
  <dimension ref="A1:B2"/>
  <sheetViews>
    <sheetView workbookViewId="0">
      <selection sqref="A1: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f>ROW(A1)</f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91B4-C8B6-4121-9658-C4EBC099D347}">
  <dimension ref="A1:B1"/>
  <sheetViews>
    <sheetView workbookViewId="0">
      <selection sqref="A1:B2"/>
    </sheetView>
  </sheetViews>
  <sheetFormatPr defaultRowHeight="15" x14ac:dyDescent="0.25"/>
  <cols>
    <col min="1" max="1" width="9.7109375" customWidth="1"/>
    <col min="2" max="2" width="16" customWidth="1"/>
  </cols>
  <sheetData>
    <row r="1" spans="1:2" x14ac:dyDescent="0.25">
      <c r="A1" t="s">
        <v>56</v>
      </c>
      <c r="B1" t="s">
        <v>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Propriedades de Armaduras</vt:lpstr>
      <vt:lpstr>Propriedades de Armas</vt:lpstr>
      <vt:lpstr>Classes</vt:lpstr>
      <vt:lpstr>SubClasses</vt:lpstr>
      <vt:lpstr>Perícias</vt:lpstr>
      <vt:lpstr>Idiomas</vt:lpstr>
      <vt:lpstr>Atributos</vt:lpstr>
      <vt:lpstr>Raça_Habilidade</vt:lpstr>
      <vt:lpstr>Raças</vt:lpstr>
      <vt:lpstr>Sub-Raças</vt:lpstr>
      <vt:lpstr>Magias</vt:lpstr>
      <vt:lpstr>Talentos</vt:lpstr>
      <vt:lpstr>Equipamentos</vt:lpstr>
      <vt:lpstr>Armas</vt:lpstr>
      <vt:lpstr>Armaduras</vt:lpstr>
      <vt:lpstr>Ferramentas</vt:lpstr>
      <vt:lpstr>ProficienciaClasse</vt:lpstr>
      <vt:lpstr>Habilidades</vt:lpstr>
      <vt:lpstr>Classe_Habilidade</vt:lpstr>
      <vt:lpstr>SubClasse_Habilidade</vt:lpstr>
      <vt:lpstr>Tamanhos</vt:lpstr>
      <vt:lpstr>EscolasMagia</vt:lpstr>
      <vt:lpstr>TipoDanos</vt:lpstr>
      <vt:lpstr>Arma_Propriedade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Notari</dc:creator>
  <cp:lastModifiedBy>Filipe Notari</cp:lastModifiedBy>
  <dcterms:created xsi:type="dcterms:W3CDTF">2015-06-05T18:19:34Z</dcterms:created>
  <dcterms:modified xsi:type="dcterms:W3CDTF">2026-06-30T18:30:39Z</dcterms:modified>
</cp:coreProperties>
</file>